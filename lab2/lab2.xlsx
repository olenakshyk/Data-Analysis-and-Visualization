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Analysis\lab2\"/>
    </mc:Choice>
  </mc:AlternateContent>
  <xr:revisionPtr revIDLastSave="0" documentId="13_ncr:1_{78962DFF-735B-4BFD-B987-861B680C5952}" xr6:coauthVersionLast="47" xr6:coauthVersionMax="47" xr10:uidLastSave="{00000000-0000-0000-0000-000000000000}"/>
  <bookViews>
    <workbookView xWindow="8532" yWindow="3000" windowWidth="14604" windowHeight="10656" xr2:uid="{00000000-000D-0000-FFFF-FFFF00000000}"/>
  </bookViews>
  <sheets>
    <sheet name="Звіт про стійкість 2" sheetId="4" r:id="rId1"/>
    <sheet name="Аркуш1" sheetId="1" r:id="rId2"/>
  </sheets>
  <definedNames>
    <definedName name="solver_adj" localSheetId="1" hidden="1">Аркуш1!$B$5:$E$5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Аркуш1!$F$7:$F$11</definedName>
    <definedName name="solver_lhs2" localSheetId="1" hidden="1">Аркуш1!$F$7:$F$11</definedName>
    <definedName name="solver_lhs3" localSheetId="1" hidden="1">Аркуш1!$F$7:$F$11</definedName>
    <definedName name="solver_lhs4" localSheetId="1" hidden="1">Аркуш1!$F$8</definedName>
    <definedName name="solver_lhs5" localSheetId="1" hidden="1">Аркуш1!$F$9</definedName>
    <definedName name="solver_lhs6" localSheetId="1" hidden="1">Аркуш1!$F$9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Аркуш1!$F$5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hs1" localSheetId="1" hidden="1">Аркуш1!$G$7:$G$11</definedName>
    <definedName name="solver_rhs2" localSheetId="1" hidden="1">Аркуш1!$G$7:$G$11</definedName>
    <definedName name="solver_rhs3" localSheetId="1" hidden="1">Аркуш1!$G$7:$G$11</definedName>
    <definedName name="solver_rhs4" localSheetId="1" hidden="1">Аркуш1!$G$8</definedName>
    <definedName name="solver_rhs5" localSheetId="1" hidden="1">Аркуш1!$G$9</definedName>
    <definedName name="solver_rhs6" localSheetId="1" hidden="1">Аркуш1!$G$9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F8" i="1"/>
  <c r="F9" i="1"/>
  <c r="F10" i="1"/>
  <c r="F11" i="1"/>
  <c r="F7" i="1"/>
</calcChain>
</file>

<file path=xl/sharedStrings.xml><?xml version="1.0" encoding="utf-8"?>
<sst xmlns="http://schemas.openxmlformats.org/spreadsheetml/2006/main" count="63" uniqueCount="53">
  <si>
    <t>Підприємство «Астро-ТВ» виготовляє телевізори. Одиниця виміру плану: шт./день.</t>
  </si>
  <si>
    <t>Тип телевізора</t>
  </si>
  <si>
    <t>Astro</t>
  </si>
  <si>
    <t>Cosmo</t>
  </si>
  <si>
    <t>Nova</t>
  </si>
  <si>
    <t>Vega</t>
  </si>
  <si>
    <t>Прибуток з одиниці</t>
  </si>
  <si>
    <t xml:space="preserve">Конвеєр A, год </t>
  </si>
  <si>
    <t xml:space="preserve">Конвеєр Б, год </t>
  </si>
  <si>
    <t>Цех кінескопів, год</t>
  </si>
  <si>
    <t xml:space="preserve">Цех корпусів, год </t>
  </si>
  <si>
    <t xml:space="preserve">Ділянка збирання, год  </t>
  </si>
  <si>
    <t>Запас</t>
  </si>
  <si>
    <t>Виготовлена кількість</t>
  </si>
  <si>
    <t>Прибуток</t>
  </si>
  <si>
    <t>Сумарне споживання</t>
  </si>
  <si>
    <t>Microsoft Excel 16.0 Звіт про стійкість</t>
  </si>
  <si>
    <t>Аркуш: [lab2.xlsx]Аркуш1</t>
  </si>
  <si>
    <t>Клітинки змінних</t>
  </si>
  <si>
    <t>Клітинка</t>
  </si>
  <si>
    <t>Назва</t>
  </si>
  <si>
    <t>Остаточне</t>
  </si>
  <si>
    <t>Значення</t>
  </si>
  <si>
    <t>Зменшена</t>
  </si>
  <si>
    <t>Вартість</t>
  </si>
  <si>
    <t>Цільова функція</t>
  </si>
  <si>
    <t>Коефіцієнт</t>
  </si>
  <si>
    <t>Припустиме</t>
  </si>
  <si>
    <t>Збільшення</t>
  </si>
  <si>
    <t>Зменшення</t>
  </si>
  <si>
    <t>Обмеження</t>
  </si>
  <si>
    <t>Тінь</t>
  </si>
  <si>
    <t>Ціна</t>
  </si>
  <si>
    <t>Права сторона</t>
  </si>
  <si>
    <t>$B$5</t>
  </si>
  <si>
    <t>Виготовлена кількість Astro</t>
  </si>
  <si>
    <t>$C$5</t>
  </si>
  <si>
    <t>Виготовлена кількість Cosmo</t>
  </si>
  <si>
    <t>$D$5</t>
  </si>
  <si>
    <t>Виготовлена кількість Nova</t>
  </si>
  <si>
    <t>$E$5</t>
  </si>
  <si>
    <t>Виготовлена кількість Vega</t>
  </si>
  <si>
    <t>$F$10</t>
  </si>
  <si>
    <t>Цех корпусів, год  Сумарне споживання</t>
  </si>
  <si>
    <t>$F$11</t>
  </si>
  <si>
    <t>Ділянка збирання, год   Сумарне споживання</t>
  </si>
  <si>
    <t>$F$7</t>
  </si>
  <si>
    <t>Конвеєр A, год  Сумарне споживання</t>
  </si>
  <si>
    <t>$F$8</t>
  </si>
  <si>
    <t>Конвеєр Б, год  Сумарне споживання</t>
  </si>
  <si>
    <t>$F$9</t>
  </si>
  <si>
    <t>Цех кінескопів, год Сумарне споживання</t>
  </si>
  <si>
    <t>Звіт створено: 28.09.2026 18:12:28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</si>
</sst>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0" fillId="0" borderId="3" xfId="0" applyFill="1" applyBorder="1" applyAlignment="1"/>
    <xf numFmtId="0" fontId="0" fillId="0" borderId="4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1" fontId="0" fillId="0" borderId="3" xfId="0" applyNumberFormat="1" applyFill="1" applyBorder="1" applyAlignme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29A10-0646-4B8F-AB6C-C17BBD1DB4BD}">
  <dimension ref="A1:H21"/>
  <sheetViews>
    <sheetView showGridLines="0" tabSelected="1" topLeftCell="D1" workbookViewId="0">
      <selection activeCell="D10" sqref="D10"/>
    </sheetView>
  </sheetViews>
  <sheetFormatPr defaultRowHeight="14.4" x14ac:dyDescent="0.3"/>
  <cols>
    <col min="1" max="1" width="2.33203125" customWidth="1"/>
    <col min="2" max="2" width="8.5546875" bestFit="1" customWidth="1"/>
    <col min="3" max="3" width="41" bestFit="1" customWidth="1"/>
    <col min="4" max="4" width="12" bestFit="1" customWidth="1"/>
    <col min="5" max="5" width="12.6640625" bestFit="1" customWidth="1"/>
    <col min="6" max="6" width="15.44140625" bestFit="1" customWidth="1"/>
    <col min="7" max="8" width="12" bestFit="1" customWidth="1"/>
  </cols>
  <sheetData>
    <row r="1" spans="1:8" x14ac:dyDescent="0.3">
      <c r="A1" s="3" t="s">
        <v>16</v>
      </c>
    </row>
    <row r="2" spans="1:8" x14ac:dyDescent="0.3">
      <c r="A2" s="3" t="s">
        <v>17</v>
      </c>
    </row>
    <row r="3" spans="1:8" x14ac:dyDescent="0.3">
      <c r="A3" s="3" t="s">
        <v>52</v>
      </c>
    </row>
    <row r="6" spans="1:8" ht="15" thickBot="1" x14ac:dyDescent="0.35">
      <c r="A6" t="s">
        <v>18</v>
      </c>
    </row>
    <row r="7" spans="1:8" x14ac:dyDescent="0.3">
      <c r="B7" s="6"/>
      <c r="C7" s="6"/>
      <c r="D7" s="6" t="s">
        <v>21</v>
      </c>
      <c r="E7" s="6" t="s">
        <v>23</v>
      </c>
      <c r="F7" s="6" t="s">
        <v>25</v>
      </c>
      <c r="G7" s="6" t="s">
        <v>27</v>
      </c>
      <c r="H7" s="6" t="s">
        <v>27</v>
      </c>
    </row>
    <row r="8" spans="1:8" ht="15" thickBot="1" x14ac:dyDescent="0.35">
      <c r="B8" s="7" t="s">
        <v>19</v>
      </c>
      <c r="C8" s="7" t="s">
        <v>20</v>
      </c>
      <c r="D8" s="7" t="s">
        <v>22</v>
      </c>
      <c r="E8" s="7" t="s">
        <v>24</v>
      </c>
      <c r="F8" s="7" t="s">
        <v>26</v>
      </c>
      <c r="G8" s="7" t="s">
        <v>28</v>
      </c>
      <c r="H8" s="7" t="s">
        <v>29</v>
      </c>
    </row>
    <row r="9" spans="1:8" x14ac:dyDescent="0.3">
      <c r="B9" s="4" t="s">
        <v>34</v>
      </c>
      <c r="C9" s="4" t="s">
        <v>35</v>
      </c>
      <c r="D9" s="4">
        <v>30.545454545454501</v>
      </c>
      <c r="E9" s="4">
        <v>0</v>
      </c>
      <c r="F9" s="4">
        <v>58</v>
      </c>
      <c r="G9" s="4">
        <v>15.5</v>
      </c>
      <c r="H9" s="4">
        <v>9.25</v>
      </c>
    </row>
    <row r="10" spans="1:8" x14ac:dyDescent="0.3">
      <c r="B10" s="4" t="s">
        <v>36</v>
      </c>
      <c r="C10" s="4" t="s">
        <v>37</v>
      </c>
      <c r="D10" s="4">
        <v>281.81818181818181</v>
      </c>
      <c r="E10" s="4">
        <v>0</v>
      </c>
      <c r="F10" s="4">
        <v>39</v>
      </c>
      <c r="G10" s="4">
        <v>7.4</v>
      </c>
      <c r="H10" s="4">
        <v>1.631578947368421</v>
      </c>
    </row>
    <row r="11" spans="1:8" x14ac:dyDescent="0.3">
      <c r="B11" s="4" t="s">
        <v>38</v>
      </c>
      <c r="C11" s="4" t="s">
        <v>39</v>
      </c>
      <c r="D11" s="4">
        <v>0</v>
      </c>
      <c r="E11" s="4">
        <v>-2.8181818181818201</v>
      </c>
      <c r="F11" s="4">
        <v>54</v>
      </c>
      <c r="G11" s="4">
        <v>2.8181818181818183</v>
      </c>
      <c r="H11" s="4">
        <v>1E+30</v>
      </c>
    </row>
    <row r="12" spans="1:8" ht="15" thickBot="1" x14ac:dyDescent="0.35">
      <c r="B12" s="5" t="s">
        <v>40</v>
      </c>
      <c r="C12" s="5" t="s">
        <v>41</v>
      </c>
      <c r="D12" s="5">
        <v>0</v>
      </c>
      <c r="E12" s="5">
        <v>-36.454545454545453</v>
      </c>
      <c r="F12" s="5">
        <v>16</v>
      </c>
      <c r="G12" s="5">
        <v>36.454545454545453</v>
      </c>
      <c r="H12" s="5">
        <v>1E+30</v>
      </c>
    </row>
    <row r="14" spans="1:8" ht="15" thickBot="1" x14ac:dyDescent="0.35">
      <c r="A14" t="s">
        <v>30</v>
      </c>
    </row>
    <row r="15" spans="1:8" x14ac:dyDescent="0.3">
      <c r="B15" s="6"/>
      <c r="C15" s="6"/>
      <c r="D15" s="6" t="s">
        <v>21</v>
      </c>
      <c r="E15" s="6" t="s">
        <v>31</v>
      </c>
      <c r="F15" s="6" t="s">
        <v>30</v>
      </c>
      <c r="G15" s="6" t="s">
        <v>27</v>
      </c>
      <c r="H15" s="6" t="s">
        <v>27</v>
      </c>
    </row>
    <row r="16" spans="1:8" ht="15" thickBot="1" x14ac:dyDescent="0.35">
      <c r="B16" s="7" t="s">
        <v>19</v>
      </c>
      <c r="C16" s="7" t="s">
        <v>20</v>
      </c>
      <c r="D16" s="7" t="s">
        <v>22</v>
      </c>
      <c r="E16" s="7" t="s">
        <v>32</v>
      </c>
      <c r="F16" s="7" t="s">
        <v>33</v>
      </c>
      <c r="G16" s="7" t="s">
        <v>28</v>
      </c>
      <c r="H16" s="7" t="s">
        <v>29</v>
      </c>
    </row>
    <row r="17" spans="2:8" x14ac:dyDescent="0.3">
      <c r="B17" s="4" t="s">
        <v>46</v>
      </c>
      <c r="C17" s="4" t="s">
        <v>47</v>
      </c>
      <c r="D17" s="4">
        <v>716.36363636363637</v>
      </c>
      <c r="E17" s="4">
        <v>0</v>
      </c>
      <c r="F17" s="4">
        <v>1147</v>
      </c>
      <c r="G17" s="4">
        <v>1E+30</v>
      </c>
      <c r="H17" s="4">
        <v>430.63636363636363</v>
      </c>
    </row>
    <row r="18" spans="2:8" x14ac:dyDescent="0.3">
      <c r="B18" s="4" t="s">
        <v>48</v>
      </c>
      <c r="C18" s="4" t="s">
        <v>49</v>
      </c>
      <c r="D18" s="4">
        <v>152.72727272727275</v>
      </c>
      <c r="E18" s="4">
        <v>0</v>
      </c>
      <c r="F18" s="4">
        <v>1199</v>
      </c>
      <c r="G18" s="8">
        <v>1E+30</v>
      </c>
      <c r="H18" s="4">
        <v>1046.2727272727273</v>
      </c>
    </row>
    <row r="19" spans="2:8" x14ac:dyDescent="0.3">
      <c r="B19" s="4" t="s">
        <v>50</v>
      </c>
      <c r="C19" s="4" t="s">
        <v>51</v>
      </c>
      <c r="D19" s="4">
        <v>1280</v>
      </c>
      <c r="E19" s="4">
        <v>8.9090909090909101</v>
      </c>
      <c r="F19" s="4">
        <v>1280</v>
      </c>
      <c r="G19" s="4">
        <v>336</v>
      </c>
      <c r="H19" s="4">
        <v>775</v>
      </c>
    </row>
    <row r="20" spans="2:8" x14ac:dyDescent="0.3">
      <c r="B20" s="4" t="s">
        <v>42</v>
      </c>
      <c r="C20" s="4" t="s">
        <v>43</v>
      </c>
      <c r="D20" s="4">
        <v>404</v>
      </c>
      <c r="E20" s="4">
        <v>3.3636363636363646</v>
      </c>
      <c r="F20" s="4">
        <v>404</v>
      </c>
      <c r="G20" s="4">
        <v>452.25</v>
      </c>
      <c r="H20" s="4">
        <v>84</v>
      </c>
    </row>
    <row r="21" spans="2:8" ht="15" thickBot="1" x14ac:dyDescent="0.35">
      <c r="B21" s="5" t="s">
        <v>44</v>
      </c>
      <c r="C21" s="5" t="s">
        <v>45</v>
      </c>
      <c r="D21" s="5">
        <v>183.27272727272728</v>
      </c>
      <c r="E21" s="5">
        <v>0</v>
      </c>
      <c r="F21" s="5">
        <v>1170</v>
      </c>
      <c r="G21" s="5">
        <v>1E+30</v>
      </c>
      <c r="H21" s="5">
        <v>986.72727272727298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G4" sqref="G4"/>
    </sheetView>
  </sheetViews>
  <sheetFormatPr defaultRowHeight="14.4" x14ac:dyDescent="0.3"/>
  <cols>
    <col min="1" max="1" width="20.88671875" customWidth="1"/>
    <col min="6" max="6" width="11.88671875" customWidth="1"/>
  </cols>
  <sheetData>
    <row r="1" spans="1:1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10" x14ac:dyDescent="0.3">
      <c r="A4" t="s">
        <v>6</v>
      </c>
      <c r="B4">
        <v>58</v>
      </c>
      <c r="C4">
        <v>39</v>
      </c>
      <c r="D4">
        <v>54</v>
      </c>
      <c r="E4">
        <v>16</v>
      </c>
      <c r="F4" t="s">
        <v>14</v>
      </c>
    </row>
    <row r="5" spans="1:10" x14ac:dyDescent="0.3">
      <c r="A5" t="s">
        <v>13</v>
      </c>
      <c r="B5">
        <v>30.545454545454547</v>
      </c>
      <c r="C5">
        <v>281.81818181818181</v>
      </c>
      <c r="D5">
        <v>0</v>
      </c>
      <c r="E5">
        <v>0</v>
      </c>
      <c r="F5">
        <f>SUMPRODUCT(B4:E4,B5:E5)</f>
        <v>12762.545454545454</v>
      </c>
    </row>
    <row r="6" spans="1:10" ht="33.6" customHeight="1" x14ac:dyDescent="0.3">
      <c r="F6" s="2" t="s">
        <v>15</v>
      </c>
      <c r="G6" t="s">
        <v>12</v>
      </c>
    </row>
    <row r="7" spans="1:10" x14ac:dyDescent="0.3">
      <c r="A7" t="s">
        <v>7</v>
      </c>
      <c r="B7">
        <v>5</v>
      </c>
      <c r="C7">
        <v>2</v>
      </c>
      <c r="D7">
        <v>1</v>
      </c>
      <c r="E7">
        <v>2</v>
      </c>
      <c r="F7">
        <f>SUMPRODUCT(B7:E7,B$5:E$5)</f>
        <v>716.36363636363637</v>
      </c>
      <c r="G7">
        <v>1147</v>
      </c>
    </row>
    <row r="8" spans="1:10" x14ac:dyDescent="0.3">
      <c r="A8" t="s">
        <v>8</v>
      </c>
      <c r="B8">
        <v>5</v>
      </c>
      <c r="C8">
        <v>0</v>
      </c>
      <c r="D8">
        <v>1</v>
      </c>
      <c r="E8">
        <v>3</v>
      </c>
      <c r="F8">
        <f t="shared" ref="F8:F11" si="0">SUMPRODUCT(B8:E8,B$5:E$5)</f>
        <v>152.72727272727275</v>
      </c>
      <c r="G8">
        <v>1199</v>
      </c>
    </row>
    <row r="9" spans="1:10" x14ac:dyDescent="0.3">
      <c r="A9" t="s">
        <v>9</v>
      </c>
      <c r="B9">
        <v>5</v>
      </c>
      <c r="C9">
        <v>4</v>
      </c>
      <c r="D9">
        <v>6</v>
      </c>
      <c r="E9">
        <v>4</v>
      </c>
      <c r="F9">
        <f t="shared" si="0"/>
        <v>1280</v>
      </c>
      <c r="G9">
        <v>1280</v>
      </c>
    </row>
    <row r="10" spans="1:10" x14ac:dyDescent="0.3">
      <c r="A10" t="s">
        <v>10</v>
      </c>
      <c r="B10">
        <v>4</v>
      </c>
      <c r="C10">
        <v>1</v>
      </c>
      <c r="D10">
        <v>1</v>
      </c>
      <c r="E10">
        <v>5</v>
      </c>
      <c r="F10">
        <f t="shared" si="0"/>
        <v>404</v>
      </c>
      <c r="G10">
        <v>404</v>
      </c>
    </row>
    <row r="11" spans="1:10" x14ac:dyDescent="0.3">
      <c r="A11" t="s">
        <v>11</v>
      </c>
      <c r="B11">
        <v>6</v>
      </c>
      <c r="C11">
        <v>0</v>
      </c>
      <c r="D11">
        <v>3</v>
      </c>
      <c r="E11">
        <v>0</v>
      </c>
      <c r="F11">
        <f t="shared" si="0"/>
        <v>183.27272727272728</v>
      </c>
      <c r="G11">
        <v>1170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Звіт про стійкість 2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Олена Кшик</cp:lastModifiedBy>
  <dcterms:created xsi:type="dcterms:W3CDTF">2015-06-05T18:19:34Z</dcterms:created>
  <dcterms:modified xsi:type="dcterms:W3CDTF">2026-09-28T20:35:13Z</dcterms:modified>
</cp:coreProperties>
</file>